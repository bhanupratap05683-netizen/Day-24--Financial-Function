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jes\Downloads\"/>
    </mc:Choice>
  </mc:AlternateContent>
  <xr:revisionPtr revIDLastSave="0" documentId="13_ncr:1_{7AB83349-4453-4487-8085-F3D020598D4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NPV_IRR_Calculator" sheetId="1" r:id="rId1"/>
    <sheet name="PMT_Loan_Calculator" sheetId="2" r:id="rId2"/>
    <sheet name="XNPV_XIRR_Calculator" sheetId="3" r:id="rId3"/>
    <sheet name="Practice_Exercise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3" i="1" l="1"/>
  <c r="D27" i="1" s="1"/>
  <c r="C22" i="1"/>
  <c r="C19" i="3"/>
  <c r="B19" i="3"/>
  <c r="C18" i="3"/>
  <c r="B18" i="3"/>
  <c r="C20" i="3"/>
  <c r="B28" i="4"/>
  <c r="B22" i="4"/>
  <c r="B21" i="4"/>
  <c r="B20" i="4"/>
  <c r="B11" i="4"/>
  <c r="C21" i="4"/>
  <c r="D10" i="4"/>
  <c r="D11" i="4" s="1"/>
  <c r="B14" i="2"/>
  <c r="B16" i="2"/>
  <c r="B15" i="2"/>
  <c r="B18" i="2"/>
  <c r="B13" i="2"/>
  <c r="B29" i="4"/>
  <c r="B12" i="4"/>
  <c r="B20" i="3"/>
  <c r="C46" i="2"/>
  <c r="C44" i="2"/>
  <c r="C39" i="2"/>
  <c r="C34" i="2"/>
  <c r="C32" i="2"/>
  <c r="C27" i="2"/>
  <c r="D24" i="2"/>
  <c r="B24" i="2"/>
  <c r="B17" i="2"/>
  <c r="C41" i="2"/>
  <c r="C25" i="1"/>
  <c r="D18" i="1"/>
  <c r="E18" i="1" s="1"/>
  <c r="D17" i="1"/>
  <c r="E17" i="1" s="1"/>
  <c r="D16" i="1"/>
  <c r="E16" i="1" s="1"/>
  <c r="D15" i="1"/>
  <c r="E15" i="1" s="1"/>
  <c r="D14" i="1"/>
  <c r="E14" i="1" s="1"/>
  <c r="D13" i="1"/>
  <c r="E13" i="1" s="1"/>
  <c r="C13" i="1"/>
  <c r="C14" i="1" s="1"/>
  <c r="C15" i="1" s="1"/>
  <c r="C16" i="1" s="1"/>
  <c r="C17" i="1" s="1"/>
  <c r="C18" i="1" s="1"/>
  <c r="C24" i="1" l="1"/>
  <c r="C35" i="2"/>
  <c r="C47" i="2"/>
  <c r="C28" i="2"/>
  <c r="C40" i="2"/>
  <c r="C33" i="2"/>
  <c r="C45" i="2"/>
  <c r="C26" i="2"/>
  <c r="C38" i="2"/>
  <c r="C31" i="2"/>
  <c r="C43" i="2"/>
  <c r="C25" i="2"/>
  <c r="C37" i="2"/>
  <c r="C30" i="2"/>
  <c r="C42" i="2"/>
  <c r="C24" i="2"/>
  <c r="E24" i="2" s="1"/>
  <c r="F24" i="2" s="1"/>
  <c r="B25" i="2" s="1"/>
  <c r="C36" i="2"/>
  <c r="C29" i="2"/>
  <c r="D25" i="2" l="1"/>
  <c r="E25" i="2"/>
  <c r="F25" i="2" s="1"/>
  <c r="B26" i="2" s="1"/>
  <c r="D26" i="2" l="1"/>
  <c r="E26" i="2" s="1"/>
  <c r="F26" i="2" s="1"/>
  <c r="B27" i="2" s="1"/>
  <c r="D27" i="2" l="1"/>
  <c r="E27" i="2" s="1"/>
  <c r="F27" i="2" s="1"/>
  <c r="B28" i="2" s="1"/>
  <c r="D28" i="2" l="1"/>
  <c r="E28" i="2" s="1"/>
  <c r="F28" i="2" s="1"/>
  <c r="B29" i="2" s="1"/>
  <c r="D29" i="2" l="1"/>
  <c r="E29" i="2" s="1"/>
  <c r="F29" i="2" s="1"/>
  <c r="B30" i="2" s="1"/>
  <c r="D30" i="2" l="1"/>
  <c r="E30" i="2" s="1"/>
  <c r="F30" i="2" s="1"/>
  <c r="B31" i="2" s="1"/>
  <c r="D31" i="2" l="1"/>
  <c r="E31" i="2" s="1"/>
  <c r="F31" i="2" s="1"/>
  <c r="B32" i="2" s="1"/>
  <c r="D32" i="2" l="1"/>
  <c r="E32" i="2" s="1"/>
  <c r="F32" i="2" s="1"/>
  <c r="B33" i="2" s="1"/>
  <c r="D33" i="2" l="1"/>
  <c r="E33" i="2" s="1"/>
  <c r="F33" i="2" s="1"/>
  <c r="B34" i="2" s="1"/>
  <c r="D34" i="2" l="1"/>
  <c r="E34" i="2" s="1"/>
  <c r="F34" i="2" s="1"/>
  <c r="B35" i="2" s="1"/>
  <c r="F35" i="2" l="1"/>
  <c r="B36" i="2" s="1"/>
  <c r="D35" i="2"/>
  <c r="E35" i="2" s="1"/>
  <c r="D36" i="2" l="1"/>
  <c r="E36" i="2" s="1"/>
  <c r="F36" i="2" s="1"/>
  <c r="B37" i="2" s="1"/>
  <c r="D37" i="2" l="1"/>
  <c r="E37" i="2" s="1"/>
  <c r="F37" i="2" s="1"/>
  <c r="B38" i="2" s="1"/>
  <c r="D38" i="2" l="1"/>
  <c r="E38" i="2" s="1"/>
  <c r="F38" i="2" s="1"/>
  <c r="B39" i="2" s="1"/>
  <c r="F39" i="2" l="1"/>
  <c r="B40" i="2" s="1"/>
  <c r="D39" i="2"/>
  <c r="E39" i="2" s="1"/>
  <c r="F40" i="2" l="1"/>
  <c r="B41" i="2" s="1"/>
  <c r="D40" i="2"/>
  <c r="E40" i="2" s="1"/>
  <c r="D41" i="2" l="1"/>
  <c r="E41" i="2" s="1"/>
  <c r="F41" i="2" s="1"/>
  <c r="B42" i="2" s="1"/>
  <c r="D42" i="2" l="1"/>
  <c r="E42" i="2" s="1"/>
  <c r="F42" i="2" s="1"/>
  <c r="B43" i="2" s="1"/>
  <c r="F43" i="2" l="1"/>
  <c r="B44" i="2" s="1"/>
  <c r="D43" i="2"/>
  <c r="E43" i="2" s="1"/>
  <c r="D44" i="2" l="1"/>
  <c r="E44" i="2" s="1"/>
  <c r="F44" i="2"/>
  <c r="B45" i="2" s="1"/>
  <c r="F45" i="2" l="1"/>
  <c r="B46" i="2" s="1"/>
  <c r="D45" i="2"/>
  <c r="E45" i="2" s="1"/>
  <c r="D46" i="2" l="1"/>
  <c r="E46" i="2" s="1"/>
  <c r="F46" i="2" s="1"/>
  <c r="B47" i="2" s="1"/>
  <c r="F47" i="2" l="1"/>
  <c r="D47" i="2"/>
  <c r="E47" i="2" s="1"/>
</calcChain>
</file>

<file path=xl/sharedStrings.xml><?xml version="1.0" encoding="utf-8"?>
<sst xmlns="http://schemas.openxmlformats.org/spreadsheetml/2006/main" count="149" uniqueCount="126">
  <si>
    <t>📊  Day 24 — NPV &amp; IRR Investment Calculator</t>
  </si>
  <si>
    <t>⚙️  ASSUMPTIONS (Blue = inputs you change)</t>
  </si>
  <si>
    <t>Parameter</t>
  </si>
  <si>
    <t>Value</t>
  </si>
  <si>
    <t>Unit</t>
  </si>
  <si>
    <t>Notes</t>
  </si>
  <si>
    <t>Discount Rate (WACC)</t>
  </si>
  <si>
    <t>10.0%</t>
  </si>
  <si>
    <t>Cost of capital / required return</t>
  </si>
  <si>
    <t>Initial Investment</t>
  </si>
  <si>
    <t>₹</t>
  </si>
  <si>
    <t>Negative = cash outflow at Year 0</t>
  </si>
  <si>
    <t>Project Life</t>
  </si>
  <si>
    <t>Years</t>
  </si>
  <si>
    <t>Number of years of cash flows</t>
  </si>
  <si>
    <t>Currency</t>
  </si>
  <si>
    <t>INR</t>
  </si>
  <si>
    <t>-</t>
  </si>
  <si>
    <t>Indian Rupees</t>
  </si>
  <si>
    <t>📋  PROJECT CASH FLOWS</t>
  </si>
  <si>
    <t>Year</t>
  </si>
  <si>
    <t>Cash Flow (₹)</t>
  </si>
  <si>
    <t>Cumulative CF (₹)</t>
  </si>
  <si>
    <t>PV Factor</t>
  </si>
  <si>
    <t>PV of CF (₹)</t>
  </si>
  <si>
    <t>📈  RESULTS</t>
  </si>
  <si>
    <t>Formula Used</t>
  </si>
  <si>
    <t>Result</t>
  </si>
  <si>
    <t>Interpretation</t>
  </si>
  <si>
    <t>NPV</t>
  </si>
  <si>
    <t>See C column</t>
  </si>
  <si>
    <t>Accept if NPV &gt; 0  →  Value created</t>
  </si>
  <si>
    <t>IRR</t>
  </si>
  <si>
    <t>Accept if IRR &gt; Discount Rate</t>
  </si>
  <si>
    <t>Sum of PV Cash Flows</t>
  </si>
  <si>
    <t>Total present value of all flows</t>
  </si>
  <si>
    <t>Payback Period (approx)</t>
  </si>
  <si>
    <t>Year when cumulative CF turns positive</t>
  </si>
  <si>
    <t>💡 KEY INSIGHT: NPV uses a fixed discount rate. IRR finds the rate that makes NPV = 0.</t>
  </si>
  <si>
    <t>🏦  Day 24 — PMT / EMI Loan Amortization Calculator</t>
  </si>
  <si>
    <t>⚙️  LOAN ASSUMPTIONS</t>
  </si>
  <si>
    <t>Loan Amount (Principal)</t>
  </si>
  <si>
    <t>Home / car / personal loan</t>
  </si>
  <si>
    <t>Annual Interest Rate</t>
  </si>
  <si>
    <t>8.5%</t>
  </si>
  <si>
    <t>Bank lending rate</t>
  </si>
  <si>
    <t>Loan Tenure</t>
  </si>
  <si>
    <t>Total repayment period</t>
  </si>
  <si>
    <t>Compounding Frequency</t>
  </si>
  <si>
    <t>Monthly</t>
  </si>
  <si>
    <t>Standard monthly EMI</t>
  </si>
  <si>
    <t>🧮  CALCULATED VALUES</t>
  </si>
  <si>
    <t>Metric</t>
  </si>
  <si>
    <t>Monthly Interest Rate</t>
  </si>
  <si>
    <t>Total Months</t>
  </si>
  <si>
    <t>Monthly EMI (PMT)</t>
  </si>
  <si>
    <t>Total Amount Paid</t>
  </si>
  <si>
    <t>Total Interest Paid</t>
  </si>
  <si>
    <t>Interest as % of Principal</t>
  </si>
  <si>
    <t>📋  AMORTIZATION SCHEDULE (First 24 Months)</t>
  </si>
  <si>
    <t>Month</t>
  </si>
  <si>
    <t>Opening Balance (₹)</t>
  </si>
  <si>
    <t>EMI (₹)</t>
  </si>
  <si>
    <t>Interest (₹)</t>
  </si>
  <si>
    <t>Principal (₹)</t>
  </si>
  <si>
    <t>Closing Balance (₹)</t>
  </si>
  <si>
    <t>💡 Notice: Early months = more interest; later months = more principal (front-loaded)</t>
  </si>
  <si>
    <t>📅  Day 24 — XNPV &amp; XIRR for Irregular Cash Flow Dates</t>
  </si>
  <si>
    <t>ℹ️  XNPV/XIRR use ACTUAL DATES (not just year numbers like NPV/IRR)</t>
  </si>
  <si>
    <t>⚙️  Discount Rate for XNPV</t>
  </si>
  <si>
    <t>Date</t>
  </si>
  <si>
    <t>Initial investment (irregular start date)</t>
  </si>
  <si>
    <t>Q2 2024 — partial year revenue</t>
  </si>
  <si>
    <t>Year-end cash inflow</t>
  </si>
  <si>
    <t>Q1 2025 — early collection</t>
  </si>
  <si>
    <t>Q3 2025 midyear</t>
  </si>
  <si>
    <t>Q1 2026</t>
  </si>
  <si>
    <t>Final year — terminal value included</t>
  </si>
  <si>
    <t>Formula</t>
  </si>
  <si>
    <t>vs Standard NPV/IRR</t>
  </si>
  <si>
    <t>XNPV</t>
  </si>
  <si>
    <t>More accurate — uses exact dates</t>
  </si>
  <si>
    <t>XIRR</t>
  </si>
  <si>
    <t>Annualised return on exact dates</t>
  </si>
  <si>
    <t>Standard NPV (approx)</t>
  </si>
  <si>
    <t>Less accurate — assumes year-end</t>
  </si>
  <si>
    <t>💡 KEY DIFFERENCE: XNPV/XIRR handle irregular dates → critical for real VC/PE deals</t>
  </si>
  <si>
    <t>✏️  Day 24 — Practice Exercises (Complete All 4)</t>
  </si>
  <si>
    <t>EXERCISE 1 — NPV Decision</t>
  </si>
  <si>
    <t>You are evaluating a factory expansion.</t>
  </si>
  <si>
    <t>Initial Cost:</t>
  </si>
  <si>
    <t>₹ (enter as negative)</t>
  </si>
  <si>
    <t>Year 1 CF:</t>
  </si>
  <si>
    <t>Year 2 CF:</t>
  </si>
  <si>
    <t>Year 3 CF:</t>
  </si>
  <si>
    <t>Year 4 CF:</t>
  </si>
  <si>
    <t>Discount Rate:</t>
  </si>
  <si>
    <t>12%</t>
  </si>
  <si>
    <t>→ YOUR TASK: Write NPV formula in B11. Should you invest?</t>
  </si>
  <si>
    <t>NPV Result:</t>
  </si>
  <si>
    <t>#,##0.00 → GREEN if positive</t>
  </si>
  <si>
    <t>EXERCISE 2 — EMI Calculator (Different Loan)</t>
  </si>
  <si>
    <t>Calculate EMI for a car loan:</t>
  </si>
  <si>
    <t>Loan Amount:</t>
  </si>
  <si>
    <t>Annual Rate:</t>
  </si>
  <si>
    <t>9% p.a.</t>
  </si>
  <si>
    <t>Tenure:</t>
  </si>
  <si>
    <t>→ YOUR TASK: Calculate monthly EMI using PMT</t>
  </si>
  <si>
    <t>Monthly EMI:</t>
  </si>
  <si>
    <t>₹ per month</t>
  </si>
  <si>
    <t>Total Paid:</t>
  </si>
  <si>
    <t>Total Interest:</t>
  </si>
  <si>
    <t>EXERCISE 3 — Compare 2 Projects with IRR</t>
  </si>
  <si>
    <t>Project A CFs: -400K, 120K, 140K, 160K, 180K</t>
  </si>
  <si>
    <t>Project B CFs: -400K, 200K, 150K, 100K, 80K</t>
  </si>
  <si>
    <t>→ Which has higher IRR? Which is better?</t>
  </si>
  <si>
    <t>IRR Project A:</t>
  </si>
  <si>
    <t>0.00%</t>
  </si>
  <si>
    <t>IRR Project B:</t>
  </si>
  <si>
    <t>EXERCISE 4 — Interpret a Negative NPV</t>
  </si>
  <si>
    <t>A project has NPV = -₹45,000.</t>
  </si>
  <si>
    <t>→ Does this mean the project loses money?</t>
  </si>
  <si>
    <t>→ What does it actually mean?</t>
  </si>
  <si>
    <t>Answer: It means the project earns LESS than the discount rate.</t>
  </si>
  <si>
    <t>Write your own interpretation here:</t>
  </si>
  <si>
    <t>TYPE YOUR 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</si>
</sst>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8" formatCode="&quot;₹&quot;\ #,##0.00;[Red]&quot;₹&quot;\ \-#,##0.00"/>
    <numFmt numFmtId="44" formatCode="_ &quot;₹&quot;\ * #,##0.00_ ;_ &quot;₹&quot;\ * \-#,##0.00_ ;_ &quot;₹&quot;\ * &quot;-&quot;??_ ;_ @_ "/>
    <numFmt numFmtId="164" formatCode="0.0%"/>
    <numFmt numFmtId="165" formatCode="#,##0;\(#,##0\);\-"/>
    <numFmt numFmtId="166" formatCode="0.0000"/>
    <numFmt numFmtId="167" formatCode="#,##0.00;\(#,##0.00\);\-"/>
    <numFmt numFmtId="168" formatCode="0.0"/>
    <numFmt numFmtId="169" formatCode="0.000%"/>
    <numFmt numFmtId="170" formatCode="dd\-mmm\-yyyy"/>
    <numFmt numFmtId="171" formatCode="[$$-409]#,##0.00;[Red]\-[$$-409]#,##0.00"/>
    <numFmt numFmtId="172" formatCode="&quot;₹ p&quot;e\r\ m&quot;ont&quot;h"/>
    <numFmt numFmtId="173" formatCode="\₹"/>
    <numFmt numFmtId="174" formatCode="_-[$$-409]* #,##0.00_ ;_-[$$-409]* \-#,##0.00\ ;_-[$$-409]* &quot;-&quot;??_ ;_-@_ "/>
  </numFmts>
  <fonts count="11" x14ac:knownFonts="1">
    <font>
      <sz val="11"/>
      <color theme="1"/>
      <name val="Calibri"/>
      <family val="2"/>
      <charset val="1"/>
    </font>
    <font>
      <sz val="10"/>
      <name val="Arial"/>
    </font>
    <font>
      <b/>
      <sz val="13"/>
      <color rgb="FFFFFFFF"/>
      <name val="Cambria"/>
      <charset val="1"/>
    </font>
    <font>
      <b/>
      <i/>
      <sz val="10"/>
      <name val="Cambria"/>
      <charset val="1"/>
    </font>
    <font>
      <b/>
      <sz val="11"/>
      <color rgb="FFFFFFFF"/>
      <name val="Cambria"/>
      <charset val="1"/>
    </font>
    <font>
      <sz val="11"/>
      <color rgb="FF0000FF"/>
      <name val="Cambria"/>
      <charset val="1"/>
    </font>
    <font>
      <sz val="11"/>
      <color rgb="FF000000"/>
      <name val="Cambria"/>
      <charset val="1"/>
    </font>
    <font>
      <b/>
      <sz val="11"/>
      <color rgb="FF000000"/>
      <name val="Cambria"/>
      <charset val="1"/>
    </font>
    <font>
      <b/>
      <sz val="11"/>
      <name val="Cambria"/>
      <charset val="1"/>
    </font>
    <font>
      <i/>
      <sz val="10"/>
      <color rgb="FF1F4E79"/>
      <name val="Cambria"/>
      <charset val="1"/>
    </font>
    <font>
      <sz val="11"/>
      <color rgb="FF008000"/>
      <name val="Cambria"/>
      <charset val="1"/>
    </font>
  </fonts>
  <fills count="7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AF1"/>
        <bgColor rgb="FFE2EFDA"/>
      </patternFill>
    </fill>
    <fill>
      <patternFill patternType="solid">
        <fgColor rgb="FFE2EFDA"/>
        <bgColor rgb="FFDEEAF1"/>
      </patternFill>
    </fill>
    <fill>
      <patternFill patternType="solid">
        <fgColor rgb="FFBDD7EE"/>
        <bgColor rgb="FF99CC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Border="0" applyAlignment="0" applyProtection="0"/>
  </cellStyleXfs>
  <cellXfs count="34">
    <xf numFmtId="0" fontId="0" fillId="0" borderId="0" xfId="0"/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5" fillId="4" borderId="1" xfId="0" applyNumberFormat="1" applyFont="1" applyFill="1" applyBorder="1"/>
    <xf numFmtId="165" fontId="5" fillId="4" borderId="1" xfId="0" applyNumberFormat="1" applyFont="1" applyFill="1" applyBorder="1"/>
    <xf numFmtId="3" fontId="5" fillId="4" borderId="1" xfId="0" applyNumberFormat="1" applyFont="1" applyFill="1" applyBorder="1"/>
    <xf numFmtId="0" fontId="5" fillId="4" borderId="1" xfId="0" applyFont="1" applyFill="1" applyBorder="1"/>
    <xf numFmtId="165" fontId="6" fillId="0" borderId="1" xfId="0" applyNumberFormat="1" applyFont="1" applyBorder="1"/>
    <xf numFmtId="166" fontId="6" fillId="5" borderId="1" xfId="0" applyNumberFormat="1" applyFont="1" applyFill="1" applyBorder="1"/>
    <xf numFmtId="165" fontId="6" fillId="5" borderId="1" xfId="0" applyNumberFormat="1" applyFont="1" applyFill="1" applyBorder="1"/>
    <xf numFmtId="0" fontId="7" fillId="6" borderId="1" xfId="0" applyFont="1" applyFill="1" applyBorder="1"/>
    <xf numFmtId="0" fontId="8" fillId="0" borderId="1" xfId="0" applyFont="1" applyBorder="1"/>
    <xf numFmtId="0" fontId="6" fillId="5" borderId="1" xfId="0" applyFont="1" applyFill="1" applyBorder="1"/>
    <xf numFmtId="167" fontId="6" fillId="5" borderId="1" xfId="0" applyNumberFormat="1" applyFont="1" applyFill="1" applyBorder="1"/>
    <xf numFmtId="10" fontId="6" fillId="5" borderId="1" xfId="0" applyNumberFormat="1" applyFont="1" applyFill="1" applyBorder="1"/>
    <xf numFmtId="168" fontId="6" fillId="5" borderId="1" xfId="0" applyNumberFormat="1" applyFont="1" applyFill="1" applyBorder="1"/>
    <xf numFmtId="0" fontId="9" fillId="0" borderId="0" xfId="0" applyFont="1"/>
    <xf numFmtId="169" fontId="6" fillId="5" borderId="1" xfId="0" applyNumberFormat="1" applyFont="1" applyFill="1" applyBorder="1"/>
    <xf numFmtId="3" fontId="6" fillId="5" borderId="1" xfId="0" applyNumberFormat="1" applyFont="1" applyFill="1" applyBorder="1"/>
    <xf numFmtId="164" fontId="6" fillId="5" borderId="1" xfId="0" applyNumberFormat="1" applyFont="1" applyFill="1" applyBorder="1"/>
    <xf numFmtId="167" fontId="10" fillId="0" borderId="1" xfId="0" applyNumberFormat="1" applyFont="1" applyBorder="1"/>
    <xf numFmtId="170" fontId="5" fillId="4" borderId="1" xfId="0" applyNumberFormat="1" applyFont="1" applyFill="1" applyBorder="1"/>
    <xf numFmtId="171" fontId="0" fillId="0" borderId="1" xfId="0" applyNumberFormat="1" applyBorder="1"/>
    <xf numFmtId="171" fontId="6" fillId="5" borderId="1" xfId="0" applyNumberFormat="1" applyFont="1" applyFill="1" applyBorder="1"/>
    <xf numFmtId="172" fontId="6" fillId="5" borderId="1" xfId="0" applyNumberFormat="1" applyFont="1" applyFill="1" applyBorder="1"/>
    <xf numFmtId="173" fontId="6" fillId="5" borderId="1" xfId="0" applyNumberFormat="1" applyFont="1" applyFill="1" applyBorder="1"/>
    <xf numFmtId="8" fontId="0" fillId="0" borderId="0" xfId="0" applyNumberFormat="1"/>
    <xf numFmtId="174" fontId="0" fillId="0" borderId="0" xfId="0" applyNumberFormat="1"/>
    <xf numFmtId="44" fontId="1" fillId="0" borderId="1" xfId="1" applyBorder="1"/>
    <xf numFmtId="9" fontId="0" fillId="0" borderId="0" xfId="0" applyNumberFormat="1"/>
    <xf numFmtId="8" fontId="0" fillId="0" borderId="1" xfId="0" applyNumberFormat="1" applyBorder="1"/>
    <xf numFmtId="0" fontId="2" fillId="2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showGridLines="0" tabSelected="1" zoomScaleNormal="100" workbookViewId="0">
      <selection activeCell="E21" sqref="E21"/>
    </sheetView>
  </sheetViews>
  <sheetFormatPr defaultColWidth="8.6640625" defaultRowHeight="14.4" x14ac:dyDescent="0.3"/>
  <cols>
    <col min="1" max="1" width="28" customWidth="1"/>
    <col min="2" max="3" width="18" customWidth="1"/>
    <col min="4" max="4" width="24" customWidth="1"/>
    <col min="5" max="6" width="18" customWidth="1"/>
  </cols>
  <sheetData>
    <row r="1" spans="1:6" ht="21.75" customHeight="1" x14ac:dyDescent="0.3">
      <c r="A1" s="32" t="s">
        <v>0</v>
      </c>
      <c r="B1" s="32"/>
      <c r="C1" s="32"/>
      <c r="D1" s="32"/>
      <c r="E1" s="32"/>
      <c r="F1" s="32"/>
    </row>
    <row r="3" spans="1:6" ht="15" customHeight="1" x14ac:dyDescent="0.3">
      <c r="A3" s="1" t="s">
        <v>1</v>
      </c>
    </row>
    <row r="4" spans="1:6" ht="15" customHeight="1" x14ac:dyDescent="0.3">
      <c r="A4" s="2" t="s">
        <v>2</v>
      </c>
      <c r="B4" s="2" t="s">
        <v>3</v>
      </c>
      <c r="C4" s="2" t="s">
        <v>4</v>
      </c>
      <c r="D4" s="2" t="s">
        <v>5</v>
      </c>
    </row>
    <row r="5" spans="1:6" ht="15" customHeight="1" x14ac:dyDescent="0.3">
      <c r="A5" s="3" t="s">
        <v>6</v>
      </c>
      <c r="B5" s="4">
        <v>0.15</v>
      </c>
      <c r="C5" s="3" t="s">
        <v>7</v>
      </c>
      <c r="D5" s="3" t="s">
        <v>8</v>
      </c>
    </row>
    <row r="6" spans="1:6" ht="15" customHeight="1" x14ac:dyDescent="0.3">
      <c r="A6" s="3" t="s">
        <v>9</v>
      </c>
      <c r="B6" s="5">
        <v>-500000</v>
      </c>
      <c r="C6" s="3" t="s">
        <v>10</v>
      </c>
      <c r="D6" s="3" t="s">
        <v>11</v>
      </c>
    </row>
    <row r="7" spans="1:6" ht="15" customHeight="1" x14ac:dyDescent="0.3">
      <c r="A7" s="3" t="s">
        <v>12</v>
      </c>
      <c r="B7" s="6">
        <v>5</v>
      </c>
      <c r="C7" s="3" t="s">
        <v>13</v>
      </c>
      <c r="D7" s="3" t="s">
        <v>14</v>
      </c>
    </row>
    <row r="8" spans="1:6" ht="15" customHeight="1" x14ac:dyDescent="0.3">
      <c r="A8" s="3" t="s">
        <v>15</v>
      </c>
      <c r="B8" s="6" t="s">
        <v>16</v>
      </c>
      <c r="C8" s="3" t="s">
        <v>17</v>
      </c>
      <c r="D8" s="3" t="s">
        <v>18</v>
      </c>
    </row>
    <row r="11" spans="1:6" ht="15" customHeight="1" x14ac:dyDescent="0.3">
      <c r="A11" s="1" t="s">
        <v>19</v>
      </c>
    </row>
    <row r="12" spans="1:6" ht="15" customHeight="1" x14ac:dyDescent="0.3">
      <c r="A12" s="2" t="s">
        <v>20</v>
      </c>
      <c r="B12" s="2" t="s">
        <v>21</v>
      </c>
      <c r="C12" s="2" t="s">
        <v>22</v>
      </c>
      <c r="D12" s="2" t="s">
        <v>23</v>
      </c>
      <c r="E12" s="2" t="s">
        <v>24</v>
      </c>
    </row>
    <row r="13" spans="1:6" ht="15" customHeight="1" x14ac:dyDescent="0.3">
      <c r="A13" s="7">
        <v>0</v>
      </c>
      <c r="B13" s="5">
        <v>-500000</v>
      </c>
      <c r="C13" s="8">
        <f>B13</f>
        <v>-500000</v>
      </c>
      <c r="D13" s="9">
        <f t="shared" ref="D13:D18" si="0">1/(1+$B$5)^A13</f>
        <v>1</v>
      </c>
      <c r="E13" s="10">
        <f t="shared" ref="E13:E18" si="1">B13*D13</f>
        <v>-500000</v>
      </c>
    </row>
    <row r="14" spans="1:6" ht="15" customHeight="1" x14ac:dyDescent="0.3">
      <c r="A14" s="7">
        <v>1</v>
      </c>
      <c r="B14" s="5">
        <v>120000</v>
      </c>
      <c r="C14" s="10">
        <f>C13+B14</f>
        <v>-380000</v>
      </c>
      <c r="D14" s="9">
        <f t="shared" si="0"/>
        <v>0.86956521739130443</v>
      </c>
      <c r="E14" s="10">
        <f t="shared" si="1"/>
        <v>104347.82608695653</v>
      </c>
    </row>
    <row r="15" spans="1:6" ht="15" customHeight="1" x14ac:dyDescent="0.3">
      <c r="A15" s="7">
        <v>2</v>
      </c>
      <c r="B15" s="5">
        <v>150000</v>
      </c>
      <c r="C15" s="10">
        <f>C14+B15</f>
        <v>-230000</v>
      </c>
      <c r="D15" s="9">
        <f t="shared" si="0"/>
        <v>0.7561436672967865</v>
      </c>
      <c r="E15" s="10">
        <f t="shared" si="1"/>
        <v>113421.55009451798</v>
      </c>
    </row>
    <row r="16" spans="1:6" ht="15" customHeight="1" x14ac:dyDescent="0.3">
      <c r="A16" s="7">
        <v>3</v>
      </c>
      <c r="B16" s="5">
        <v>180000</v>
      </c>
      <c r="C16" s="10">
        <f>C15+B16</f>
        <v>-50000</v>
      </c>
      <c r="D16" s="9">
        <f t="shared" si="0"/>
        <v>0.65751623243198831</v>
      </c>
      <c r="E16" s="10">
        <f t="shared" si="1"/>
        <v>118352.92183775789</v>
      </c>
    </row>
    <row r="17" spans="1:5" ht="15" customHeight="1" x14ac:dyDescent="0.3">
      <c r="A17" s="7">
        <v>4</v>
      </c>
      <c r="B17" s="5">
        <v>200000</v>
      </c>
      <c r="C17" s="10">
        <f>C16+B17</f>
        <v>150000</v>
      </c>
      <c r="D17" s="9">
        <f t="shared" si="0"/>
        <v>0.57175324559303342</v>
      </c>
      <c r="E17" s="10">
        <f t="shared" si="1"/>
        <v>114350.64911860669</v>
      </c>
    </row>
    <row r="18" spans="1:5" ht="15" customHeight="1" x14ac:dyDescent="0.3">
      <c r="A18" s="7">
        <v>5</v>
      </c>
      <c r="B18" s="5">
        <v>220000</v>
      </c>
      <c r="C18" s="10">
        <f>C17+B18</f>
        <v>370000</v>
      </c>
      <c r="D18" s="9">
        <f t="shared" si="0"/>
        <v>0.49717673529828987</v>
      </c>
      <c r="E18" s="10">
        <f t="shared" si="1"/>
        <v>109378.88176562377</v>
      </c>
    </row>
    <row r="21" spans="1:5" ht="15" customHeight="1" x14ac:dyDescent="0.3">
      <c r="A21" s="11" t="s">
        <v>25</v>
      </c>
      <c r="B21" s="2" t="s">
        <v>26</v>
      </c>
      <c r="C21" s="2" t="s">
        <v>27</v>
      </c>
      <c r="D21" s="2" t="s">
        <v>28</v>
      </c>
    </row>
    <row r="22" spans="1:5" ht="15" customHeight="1" x14ac:dyDescent="0.3">
      <c r="A22" s="12" t="s">
        <v>29</v>
      </c>
      <c r="B22" s="13" t="s">
        <v>30</v>
      </c>
      <c r="C22" s="14">
        <f>NPV(B5,B14:B18)+B13</f>
        <v>59851.828903462854</v>
      </c>
      <c r="D22" s="3" t="s">
        <v>31</v>
      </c>
    </row>
    <row r="23" spans="1:5" ht="15" customHeight="1" x14ac:dyDescent="0.3">
      <c r="A23" s="12" t="s">
        <v>32</v>
      </c>
      <c r="B23" s="13" t="s">
        <v>30</v>
      </c>
      <c r="C23" s="15">
        <f>IRR(B13:B18)</f>
        <v>0.19442495225528988</v>
      </c>
      <c r="D23" s="3" t="s">
        <v>33</v>
      </c>
    </row>
    <row r="24" spans="1:5" ht="15" customHeight="1" x14ac:dyDescent="0.3">
      <c r="A24" s="12" t="s">
        <v>34</v>
      </c>
      <c r="B24" s="13" t="s">
        <v>30</v>
      </c>
      <c r="C24" s="14">
        <f>SUM(E13:E18)</f>
        <v>59851.828903462883</v>
      </c>
      <c r="D24" s="3" t="s">
        <v>35</v>
      </c>
    </row>
    <row r="25" spans="1:5" ht="15" customHeight="1" x14ac:dyDescent="0.3">
      <c r="A25" s="12" t="s">
        <v>36</v>
      </c>
      <c r="B25" s="13" t="s">
        <v>30</v>
      </c>
      <c r="C25" s="16" t="e">
        <f>MATCH(TRUE(),C13:C18&gt;=0,0)-1</f>
        <v>#VALUE!</v>
      </c>
      <c r="D25" s="3" t="s">
        <v>37</v>
      </c>
    </row>
    <row r="27" spans="1:5" x14ac:dyDescent="0.3">
      <c r="D27" s="27">
        <f>NPV(C23,B14:B18)+B13</f>
        <v>0</v>
      </c>
    </row>
    <row r="28" spans="1:5" ht="15" customHeight="1" x14ac:dyDescent="0.3">
      <c r="A28" s="17" t="s">
        <v>38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"/>
  <sheetViews>
    <sheetView showGridLines="0" zoomScaleNormal="100" workbookViewId="0">
      <selection activeCell="B14" sqref="B14"/>
    </sheetView>
  </sheetViews>
  <sheetFormatPr defaultColWidth="8.6640625" defaultRowHeight="14.4" x14ac:dyDescent="0.3"/>
  <cols>
    <col min="1" max="1" width="30" customWidth="1"/>
    <col min="2" max="3" width="20" customWidth="1"/>
    <col min="4" max="4" width="22" customWidth="1"/>
    <col min="5" max="5" width="20" customWidth="1"/>
    <col min="6" max="6" width="18" customWidth="1"/>
  </cols>
  <sheetData>
    <row r="1" spans="1:6" ht="21.75" customHeight="1" x14ac:dyDescent="0.3">
      <c r="A1" s="32" t="s">
        <v>39</v>
      </c>
      <c r="B1" s="32"/>
      <c r="C1" s="32"/>
      <c r="D1" s="32"/>
      <c r="E1" s="32"/>
      <c r="F1" s="32"/>
    </row>
    <row r="3" spans="1:6" ht="15" customHeight="1" x14ac:dyDescent="0.3">
      <c r="A3" s="1" t="s">
        <v>40</v>
      </c>
    </row>
    <row r="4" spans="1:6" ht="15" customHeight="1" x14ac:dyDescent="0.3">
      <c r="A4" s="2" t="s">
        <v>2</v>
      </c>
      <c r="B4" s="2" t="s">
        <v>3</v>
      </c>
      <c r="C4" s="2" t="s">
        <v>4</v>
      </c>
      <c r="D4" s="2" t="s">
        <v>5</v>
      </c>
    </row>
    <row r="5" spans="1:6" ht="15" customHeight="1" x14ac:dyDescent="0.3">
      <c r="A5" s="3" t="s">
        <v>41</v>
      </c>
      <c r="B5" s="6">
        <v>1000000</v>
      </c>
      <c r="C5" s="3" t="s">
        <v>10</v>
      </c>
      <c r="D5" s="3" t="s">
        <v>42</v>
      </c>
    </row>
    <row r="6" spans="1:6" ht="15" customHeight="1" x14ac:dyDescent="0.3">
      <c r="A6" s="3" t="s">
        <v>43</v>
      </c>
      <c r="B6" s="4">
        <v>8.5000000000000006E-2</v>
      </c>
      <c r="C6" s="3" t="s">
        <v>44</v>
      </c>
      <c r="D6" s="3" t="s">
        <v>45</v>
      </c>
    </row>
    <row r="7" spans="1:6" ht="15" customHeight="1" x14ac:dyDescent="0.3">
      <c r="A7" s="3" t="s">
        <v>46</v>
      </c>
      <c r="B7" s="6">
        <v>20</v>
      </c>
      <c r="C7" s="3" t="s">
        <v>13</v>
      </c>
      <c r="D7" s="3" t="s">
        <v>47</v>
      </c>
    </row>
    <row r="8" spans="1:6" ht="15" customHeight="1" x14ac:dyDescent="0.3">
      <c r="A8" s="29" t="s">
        <v>48</v>
      </c>
      <c r="B8" s="6">
        <v>12</v>
      </c>
      <c r="C8" s="3" t="s">
        <v>49</v>
      </c>
      <c r="D8" s="3" t="s">
        <v>50</v>
      </c>
    </row>
    <row r="11" spans="1:6" ht="15" customHeight="1" x14ac:dyDescent="0.3">
      <c r="A11" s="11" t="s">
        <v>51</v>
      </c>
    </row>
    <row r="12" spans="1:6" ht="15" customHeight="1" x14ac:dyDescent="0.3">
      <c r="A12" s="2" t="s">
        <v>52</v>
      </c>
      <c r="B12" s="2" t="s">
        <v>3</v>
      </c>
    </row>
    <row r="13" spans="1:6" ht="15" customHeight="1" x14ac:dyDescent="0.3">
      <c r="A13" s="12" t="s">
        <v>53</v>
      </c>
      <c r="B13" s="18">
        <f>B6/B8</f>
        <v>7.0833333333333338E-3</v>
      </c>
    </row>
    <row r="14" spans="1:6" ht="15" customHeight="1" x14ac:dyDescent="0.3">
      <c r="A14" s="12" t="s">
        <v>54</v>
      </c>
      <c r="B14" s="19">
        <f>B7*B8</f>
        <v>240</v>
      </c>
    </row>
    <row r="15" spans="1:6" ht="15" customHeight="1" x14ac:dyDescent="0.3">
      <c r="A15" s="12" t="s">
        <v>55</v>
      </c>
      <c r="B15" s="14">
        <f>PMT(B6/B8,B7*B8,-B5)</f>
        <v>8678.23233365534</v>
      </c>
    </row>
    <row r="16" spans="1:6" ht="15" customHeight="1" x14ac:dyDescent="0.3">
      <c r="A16" s="12" t="s">
        <v>56</v>
      </c>
      <c r="B16" s="14">
        <f>B15*B14</f>
        <v>2082775.7600772816</v>
      </c>
    </row>
    <row r="17" spans="1:6" ht="15" customHeight="1" x14ac:dyDescent="0.3">
      <c r="A17" s="12" t="s">
        <v>57</v>
      </c>
      <c r="B17" s="14">
        <f>B14-B5</f>
        <v>-999760</v>
      </c>
    </row>
    <row r="18" spans="1:6" ht="15" customHeight="1" x14ac:dyDescent="0.3">
      <c r="A18" s="12" t="s">
        <v>58</v>
      </c>
      <c r="B18" s="20">
        <f>B15/B5</f>
        <v>8.6782323336553405E-3</v>
      </c>
    </row>
    <row r="22" spans="1:6" ht="15" customHeight="1" x14ac:dyDescent="0.3">
      <c r="A22" s="1" t="s">
        <v>59</v>
      </c>
    </row>
    <row r="23" spans="1:6" ht="27.75" customHeight="1" x14ac:dyDescent="0.3">
      <c r="A23" s="2" t="s">
        <v>60</v>
      </c>
      <c r="B23" s="2" t="s">
        <v>61</v>
      </c>
      <c r="C23" s="2" t="s">
        <v>62</v>
      </c>
      <c r="D23" s="2" t="s">
        <v>63</v>
      </c>
      <c r="E23" s="2" t="s">
        <v>64</v>
      </c>
      <c r="F23" s="2" t="s">
        <v>65</v>
      </c>
    </row>
    <row r="24" spans="1:6" ht="15" customHeight="1" x14ac:dyDescent="0.3">
      <c r="A24" s="7">
        <v>1</v>
      </c>
      <c r="B24" s="21">
        <f>$B$5</f>
        <v>1000000</v>
      </c>
      <c r="C24" s="14">
        <f t="shared" ref="C24:C47" si="0">$B$13</f>
        <v>7.0833333333333338E-3</v>
      </c>
      <c r="D24" s="14">
        <f t="shared" ref="D24:D47" si="1">B24*$B$6/$B$8</f>
        <v>7083.333333333333</v>
      </c>
      <c r="E24" s="14">
        <f t="shared" ref="E24:E47" si="2">C24-D24</f>
        <v>-7083.3262500000001</v>
      </c>
      <c r="F24" s="14">
        <f t="shared" ref="F24:F47" si="3">B24-E24</f>
        <v>1007083.32625</v>
      </c>
    </row>
    <row r="25" spans="1:6" ht="15" customHeight="1" x14ac:dyDescent="0.3">
      <c r="A25" s="7">
        <v>2</v>
      </c>
      <c r="B25" s="21">
        <f t="shared" ref="B25:B47" si="4">F24</f>
        <v>1007083.32625</v>
      </c>
      <c r="C25" s="14">
        <f t="shared" si="0"/>
        <v>7.0833333333333338E-3</v>
      </c>
      <c r="D25" s="14">
        <f t="shared" si="1"/>
        <v>7133.506894270834</v>
      </c>
      <c r="E25" s="14">
        <f t="shared" si="2"/>
        <v>-7133.499810937501</v>
      </c>
      <c r="F25" s="14">
        <f t="shared" si="3"/>
        <v>1014216.8260609375</v>
      </c>
    </row>
    <row r="26" spans="1:6" ht="15" customHeight="1" x14ac:dyDescent="0.3">
      <c r="A26" s="7">
        <v>3</v>
      </c>
      <c r="B26" s="21">
        <f t="shared" si="4"/>
        <v>1014216.8260609375</v>
      </c>
      <c r="C26" s="14">
        <f t="shared" si="0"/>
        <v>7.0833333333333338E-3</v>
      </c>
      <c r="D26" s="14">
        <f t="shared" si="1"/>
        <v>7184.0358512649736</v>
      </c>
      <c r="E26" s="14">
        <f t="shared" si="2"/>
        <v>-7184.0287679316407</v>
      </c>
      <c r="F26" s="14">
        <f t="shared" si="3"/>
        <v>1021400.8548288691</v>
      </c>
    </row>
    <row r="27" spans="1:6" ht="15" customHeight="1" x14ac:dyDescent="0.3">
      <c r="A27" s="7">
        <v>4</v>
      </c>
      <c r="B27" s="21">
        <f t="shared" si="4"/>
        <v>1021400.8548288691</v>
      </c>
      <c r="C27" s="14">
        <f t="shared" si="0"/>
        <v>7.0833333333333338E-3</v>
      </c>
      <c r="D27" s="14">
        <f t="shared" si="1"/>
        <v>7234.92272170449</v>
      </c>
      <c r="E27" s="14">
        <f t="shared" si="2"/>
        <v>-7234.915638371157</v>
      </c>
      <c r="F27" s="14">
        <f t="shared" si="3"/>
        <v>1028635.7704672402</v>
      </c>
    </row>
    <row r="28" spans="1:6" ht="15" customHeight="1" x14ac:dyDescent="0.3">
      <c r="A28" s="7">
        <v>5</v>
      </c>
      <c r="B28" s="21">
        <f t="shared" si="4"/>
        <v>1028635.7704672402</v>
      </c>
      <c r="C28" s="14">
        <f t="shared" si="0"/>
        <v>7.0833333333333338E-3</v>
      </c>
      <c r="D28" s="14">
        <f t="shared" si="1"/>
        <v>7286.1700408096185</v>
      </c>
      <c r="E28" s="14">
        <f t="shared" si="2"/>
        <v>-7286.1629574762856</v>
      </c>
      <c r="F28" s="14">
        <f t="shared" si="3"/>
        <v>1035921.9334247166</v>
      </c>
    </row>
    <row r="29" spans="1:6" ht="15" customHeight="1" x14ac:dyDescent="0.3">
      <c r="A29" s="7">
        <v>6</v>
      </c>
      <c r="B29" s="21">
        <f t="shared" si="4"/>
        <v>1035921.9334247166</v>
      </c>
      <c r="C29" s="14">
        <f t="shared" si="0"/>
        <v>7.0833333333333338E-3</v>
      </c>
      <c r="D29" s="14">
        <f t="shared" si="1"/>
        <v>7337.7803617584095</v>
      </c>
      <c r="E29" s="14">
        <f t="shared" si="2"/>
        <v>-7337.7732784250766</v>
      </c>
      <c r="F29" s="14">
        <f t="shared" si="3"/>
        <v>1043259.7067031417</v>
      </c>
    </row>
    <row r="30" spans="1:6" ht="15" customHeight="1" x14ac:dyDescent="0.3">
      <c r="A30" s="7">
        <v>7</v>
      </c>
      <c r="B30" s="21">
        <f t="shared" si="4"/>
        <v>1043259.7067031417</v>
      </c>
      <c r="C30" s="14">
        <f t="shared" si="0"/>
        <v>7.0833333333333338E-3</v>
      </c>
      <c r="D30" s="14">
        <f t="shared" si="1"/>
        <v>7389.7562558139207</v>
      </c>
      <c r="E30" s="14">
        <f t="shared" si="2"/>
        <v>-7389.7491724805877</v>
      </c>
      <c r="F30" s="14">
        <f t="shared" si="3"/>
        <v>1050649.4558756223</v>
      </c>
    </row>
    <row r="31" spans="1:6" ht="15" customHeight="1" x14ac:dyDescent="0.3">
      <c r="A31" s="7">
        <v>8</v>
      </c>
      <c r="B31" s="21">
        <f t="shared" si="4"/>
        <v>1050649.4558756223</v>
      </c>
      <c r="C31" s="14">
        <f t="shared" si="0"/>
        <v>7.0833333333333338E-3</v>
      </c>
      <c r="D31" s="14">
        <f t="shared" si="1"/>
        <v>7442.1003124523259</v>
      </c>
      <c r="E31" s="14">
        <f t="shared" si="2"/>
        <v>-7442.0932291189929</v>
      </c>
      <c r="F31" s="14">
        <f t="shared" si="3"/>
        <v>1058091.5491047413</v>
      </c>
    </row>
    <row r="32" spans="1:6" ht="15" customHeight="1" x14ac:dyDescent="0.3">
      <c r="A32" s="7">
        <v>9</v>
      </c>
      <c r="B32" s="21">
        <f t="shared" si="4"/>
        <v>1058091.5491047413</v>
      </c>
      <c r="C32" s="14">
        <f t="shared" si="0"/>
        <v>7.0833333333333338E-3</v>
      </c>
      <c r="D32" s="14">
        <f t="shared" si="1"/>
        <v>7494.8151394919187</v>
      </c>
      <c r="E32" s="14">
        <f t="shared" si="2"/>
        <v>-7494.8080561585857</v>
      </c>
      <c r="F32" s="14">
        <f t="shared" si="3"/>
        <v>1065586.3571608998</v>
      </c>
    </row>
    <row r="33" spans="1:6" ht="15" customHeight="1" x14ac:dyDescent="0.3">
      <c r="A33" s="7">
        <v>10</v>
      </c>
      <c r="B33" s="21">
        <f t="shared" si="4"/>
        <v>1065586.3571608998</v>
      </c>
      <c r="C33" s="14">
        <f t="shared" si="0"/>
        <v>7.0833333333333338E-3</v>
      </c>
      <c r="D33" s="14">
        <f t="shared" si="1"/>
        <v>7547.9033632230412</v>
      </c>
      <c r="E33" s="14">
        <f t="shared" si="2"/>
        <v>-7547.8962798897082</v>
      </c>
      <c r="F33" s="14">
        <f t="shared" si="3"/>
        <v>1073134.2534407894</v>
      </c>
    </row>
    <row r="34" spans="1:6" ht="15" customHeight="1" x14ac:dyDescent="0.3">
      <c r="A34" s="7">
        <v>11</v>
      </c>
      <c r="B34" s="21">
        <f t="shared" si="4"/>
        <v>1073134.2534407894</v>
      </c>
      <c r="C34" s="14">
        <f t="shared" si="0"/>
        <v>7.0833333333333338E-3</v>
      </c>
      <c r="D34" s="14">
        <f t="shared" si="1"/>
        <v>7601.3676285389256</v>
      </c>
      <c r="E34" s="14">
        <f t="shared" si="2"/>
        <v>-7601.3605452055926</v>
      </c>
      <c r="F34" s="14">
        <f t="shared" si="3"/>
        <v>1080735.6139859951</v>
      </c>
    </row>
    <row r="35" spans="1:6" ht="15" customHeight="1" x14ac:dyDescent="0.3">
      <c r="A35" s="7">
        <v>12</v>
      </c>
      <c r="B35" s="21">
        <f t="shared" si="4"/>
        <v>1080735.6139859951</v>
      </c>
      <c r="C35" s="14">
        <f t="shared" si="0"/>
        <v>7.0833333333333338E-3</v>
      </c>
      <c r="D35" s="14">
        <f t="shared" si="1"/>
        <v>7655.2105990674654</v>
      </c>
      <c r="E35" s="14">
        <f t="shared" si="2"/>
        <v>-7655.2035157341325</v>
      </c>
      <c r="F35" s="14">
        <f t="shared" si="3"/>
        <v>1088390.8175017291</v>
      </c>
    </row>
    <row r="36" spans="1:6" ht="15" customHeight="1" x14ac:dyDescent="0.3">
      <c r="A36" s="7">
        <v>13</v>
      </c>
      <c r="B36" s="21">
        <f t="shared" si="4"/>
        <v>1088390.8175017291</v>
      </c>
      <c r="C36" s="14">
        <f t="shared" si="0"/>
        <v>7.0833333333333338E-3</v>
      </c>
      <c r="D36" s="14">
        <f t="shared" si="1"/>
        <v>7709.4349573039153</v>
      </c>
      <c r="E36" s="14">
        <f t="shared" si="2"/>
        <v>-7709.4278739705824</v>
      </c>
      <c r="F36" s="14">
        <f t="shared" si="3"/>
        <v>1096100.2453756996</v>
      </c>
    </row>
    <row r="37" spans="1:6" ht="15" customHeight="1" x14ac:dyDescent="0.3">
      <c r="A37" s="7">
        <v>14</v>
      </c>
      <c r="B37" s="21">
        <f t="shared" si="4"/>
        <v>1096100.2453756996</v>
      </c>
      <c r="C37" s="14">
        <f t="shared" si="0"/>
        <v>7.0833333333333338E-3</v>
      </c>
      <c r="D37" s="14">
        <f t="shared" si="1"/>
        <v>7764.0434047445387</v>
      </c>
      <c r="E37" s="14">
        <f t="shared" si="2"/>
        <v>-7764.0363214112058</v>
      </c>
      <c r="F37" s="14">
        <f t="shared" si="3"/>
        <v>1103864.2816971107</v>
      </c>
    </row>
    <row r="38" spans="1:6" ht="15" customHeight="1" x14ac:dyDescent="0.3">
      <c r="A38" s="7">
        <v>15</v>
      </c>
      <c r="B38" s="21">
        <f t="shared" si="4"/>
        <v>1103864.2816971107</v>
      </c>
      <c r="C38" s="14">
        <f t="shared" si="0"/>
        <v>7.0833333333333338E-3</v>
      </c>
      <c r="D38" s="14">
        <f t="shared" si="1"/>
        <v>7819.0386620212012</v>
      </c>
      <c r="E38" s="14">
        <f t="shared" si="2"/>
        <v>-7819.0315786878682</v>
      </c>
      <c r="F38" s="14">
        <f t="shared" si="3"/>
        <v>1111683.3132757987</v>
      </c>
    </row>
    <row r="39" spans="1:6" ht="15" customHeight="1" x14ac:dyDescent="0.3">
      <c r="A39" s="7">
        <v>16</v>
      </c>
      <c r="B39" s="21">
        <f t="shared" si="4"/>
        <v>1111683.3132757987</v>
      </c>
      <c r="C39" s="14">
        <f t="shared" si="0"/>
        <v>7.0833333333333338E-3</v>
      </c>
      <c r="D39" s="14">
        <f t="shared" si="1"/>
        <v>7874.4234690369085</v>
      </c>
      <c r="E39" s="14">
        <f t="shared" si="2"/>
        <v>-7874.4163857035755</v>
      </c>
      <c r="F39" s="14">
        <f t="shared" si="3"/>
        <v>1119557.7296615022</v>
      </c>
    </row>
    <row r="40" spans="1:6" ht="15" customHeight="1" x14ac:dyDescent="0.3">
      <c r="A40" s="7">
        <v>17</v>
      </c>
      <c r="B40" s="21">
        <f t="shared" si="4"/>
        <v>1119557.7296615022</v>
      </c>
      <c r="C40" s="14">
        <f t="shared" si="0"/>
        <v>7.0833333333333338E-3</v>
      </c>
      <c r="D40" s="14">
        <f t="shared" si="1"/>
        <v>7930.2005851023068</v>
      </c>
      <c r="E40" s="14">
        <f t="shared" si="2"/>
        <v>-7930.1935017689739</v>
      </c>
      <c r="F40" s="14">
        <f t="shared" si="3"/>
        <v>1127487.923163271</v>
      </c>
    </row>
    <row r="41" spans="1:6" ht="15" customHeight="1" x14ac:dyDescent="0.3">
      <c r="A41" s="7">
        <v>18</v>
      </c>
      <c r="B41" s="21">
        <f t="shared" si="4"/>
        <v>1127487.923163271</v>
      </c>
      <c r="C41" s="14">
        <f t="shared" si="0"/>
        <v>7.0833333333333338E-3</v>
      </c>
      <c r="D41" s="14">
        <f t="shared" si="1"/>
        <v>7986.3727890731707</v>
      </c>
      <c r="E41" s="14">
        <f t="shared" si="2"/>
        <v>-7986.3657057398377</v>
      </c>
      <c r="F41" s="14">
        <f t="shared" si="3"/>
        <v>1135474.288869011</v>
      </c>
    </row>
    <row r="42" spans="1:6" ht="15" customHeight="1" x14ac:dyDescent="0.3">
      <c r="A42" s="7">
        <v>19</v>
      </c>
      <c r="B42" s="21">
        <f t="shared" si="4"/>
        <v>1135474.288869011</v>
      </c>
      <c r="C42" s="14">
        <f t="shared" si="0"/>
        <v>7.0833333333333338E-3</v>
      </c>
      <c r="D42" s="14">
        <f t="shared" si="1"/>
        <v>8042.942879488829</v>
      </c>
      <c r="E42" s="14">
        <f t="shared" si="2"/>
        <v>-8042.9357961554961</v>
      </c>
      <c r="F42" s="14">
        <f t="shared" si="3"/>
        <v>1143517.2246651666</v>
      </c>
    </row>
    <row r="43" spans="1:6" ht="15" customHeight="1" x14ac:dyDescent="0.3">
      <c r="A43" s="7">
        <v>20</v>
      </c>
      <c r="B43" s="21">
        <f t="shared" si="4"/>
        <v>1143517.2246651666</v>
      </c>
      <c r="C43" s="14">
        <f t="shared" si="0"/>
        <v>7.0833333333333338E-3</v>
      </c>
      <c r="D43" s="14">
        <f t="shared" si="1"/>
        <v>8099.9136747115963</v>
      </c>
      <c r="E43" s="14">
        <f t="shared" si="2"/>
        <v>-8099.9065913782633</v>
      </c>
      <c r="F43" s="14">
        <f t="shared" si="3"/>
        <v>1151617.1312565447</v>
      </c>
    </row>
    <row r="44" spans="1:6" ht="15" customHeight="1" x14ac:dyDescent="0.3">
      <c r="A44" s="7">
        <v>21</v>
      </c>
      <c r="B44" s="21">
        <f t="shared" si="4"/>
        <v>1151617.1312565447</v>
      </c>
      <c r="C44" s="14">
        <f t="shared" si="0"/>
        <v>7.0833333333333338E-3</v>
      </c>
      <c r="D44" s="14">
        <f t="shared" si="1"/>
        <v>8157.288013067192</v>
      </c>
      <c r="E44" s="14">
        <f t="shared" si="2"/>
        <v>-8157.280929733859</v>
      </c>
      <c r="F44" s="14">
        <f t="shared" si="3"/>
        <v>1159774.4121862785</v>
      </c>
    </row>
    <row r="45" spans="1:6" ht="15" customHeight="1" x14ac:dyDescent="0.3">
      <c r="A45" s="7">
        <v>22</v>
      </c>
      <c r="B45" s="21">
        <f t="shared" si="4"/>
        <v>1159774.4121862785</v>
      </c>
      <c r="C45" s="14">
        <f t="shared" si="0"/>
        <v>7.0833333333333338E-3</v>
      </c>
      <c r="D45" s="14">
        <f t="shared" si="1"/>
        <v>8215.0687529861407</v>
      </c>
      <c r="E45" s="14">
        <f t="shared" si="2"/>
        <v>-8215.0616696528068</v>
      </c>
      <c r="F45" s="14">
        <f t="shared" si="3"/>
        <v>1167989.4738559313</v>
      </c>
    </row>
    <row r="46" spans="1:6" ht="15" customHeight="1" x14ac:dyDescent="0.3">
      <c r="A46" s="7">
        <v>23</v>
      </c>
      <c r="B46" s="21">
        <f t="shared" si="4"/>
        <v>1167989.4738559313</v>
      </c>
      <c r="C46" s="14">
        <f t="shared" si="0"/>
        <v>7.0833333333333338E-3</v>
      </c>
      <c r="D46" s="14">
        <f t="shared" si="1"/>
        <v>8273.2587731461808</v>
      </c>
      <c r="E46" s="14">
        <f t="shared" si="2"/>
        <v>-8273.251689812847</v>
      </c>
      <c r="F46" s="14">
        <f t="shared" si="3"/>
        <v>1176262.7255457442</v>
      </c>
    </row>
    <row r="47" spans="1:6" ht="15" customHeight="1" x14ac:dyDescent="0.3">
      <c r="A47" s="7">
        <v>24</v>
      </c>
      <c r="B47" s="21">
        <f t="shared" si="4"/>
        <v>1176262.7255457442</v>
      </c>
      <c r="C47" s="14">
        <f t="shared" si="0"/>
        <v>7.0833333333333338E-3</v>
      </c>
      <c r="D47" s="14">
        <f t="shared" si="1"/>
        <v>8331.8609726156883</v>
      </c>
      <c r="E47" s="14">
        <f t="shared" si="2"/>
        <v>-8331.8538892823544</v>
      </c>
      <c r="F47" s="14">
        <f t="shared" si="3"/>
        <v>1184594.5794350265</v>
      </c>
    </row>
    <row r="50" spans="1:1" ht="15" customHeight="1" x14ac:dyDescent="0.3">
      <c r="A50" s="17" t="s">
        <v>66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showGridLines="0" zoomScaleNormal="100" workbookViewId="0">
      <selection activeCell="A3" sqref="A3:E21"/>
    </sheetView>
  </sheetViews>
  <sheetFormatPr defaultColWidth="8.6640625" defaultRowHeight="14.4" x14ac:dyDescent="0.3"/>
  <cols>
    <col min="1" max="1" width="28" customWidth="1"/>
    <col min="2" max="2" width="20" customWidth="1"/>
    <col min="3" max="3" width="22" customWidth="1"/>
    <col min="4" max="4" width="26" customWidth="1"/>
    <col min="5" max="5" width="22" customWidth="1"/>
  </cols>
  <sheetData>
    <row r="1" spans="1:5" ht="21.75" customHeight="1" x14ac:dyDescent="0.3">
      <c r="A1" s="32" t="s">
        <v>67</v>
      </c>
      <c r="B1" s="32"/>
      <c r="C1" s="32"/>
      <c r="D1" s="32"/>
      <c r="E1" s="32"/>
    </row>
    <row r="3" spans="1:5" ht="15" customHeight="1" x14ac:dyDescent="0.3">
      <c r="A3" s="17" t="s">
        <v>68</v>
      </c>
    </row>
    <row r="4" spans="1:5" ht="15" customHeight="1" x14ac:dyDescent="0.3">
      <c r="A4" s="3" t="s">
        <v>69</v>
      </c>
      <c r="B4" s="4">
        <v>0.1</v>
      </c>
    </row>
    <row r="6" spans="1:5" ht="15" customHeight="1" x14ac:dyDescent="0.3">
      <c r="A6" s="2" t="s">
        <v>70</v>
      </c>
      <c r="B6" s="2" t="s">
        <v>21</v>
      </c>
      <c r="C6" s="2" t="s">
        <v>5</v>
      </c>
    </row>
    <row r="7" spans="1:5" ht="15" customHeight="1" x14ac:dyDescent="0.3">
      <c r="A7" s="22">
        <v>45306</v>
      </c>
      <c r="B7" s="5">
        <v>-600000</v>
      </c>
      <c r="C7" s="3" t="s">
        <v>71</v>
      </c>
    </row>
    <row r="8" spans="1:5" ht="15" customHeight="1" x14ac:dyDescent="0.3">
      <c r="A8" s="22">
        <v>45473</v>
      </c>
      <c r="B8" s="5">
        <v>80000</v>
      </c>
      <c r="C8" s="3" t="s">
        <v>72</v>
      </c>
    </row>
    <row r="9" spans="1:5" ht="15" customHeight="1" x14ac:dyDescent="0.3">
      <c r="A9" s="22">
        <v>45657</v>
      </c>
      <c r="B9" s="5">
        <v>150000</v>
      </c>
      <c r="C9" s="3" t="s">
        <v>73</v>
      </c>
    </row>
    <row r="10" spans="1:5" ht="15" customHeight="1" x14ac:dyDescent="0.3">
      <c r="A10" s="22">
        <v>45762</v>
      </c>
      <c r="B10" s="5">
        <v>120000</v>
      </c>
      <c r="C10" s="3" t="s">
        <v>74</v>
      </c>
    </row>
    <row r="11" spans="1:5" ht="15" customHeight="1" x14ac:dyDescent="0.3">
      <c r="A11" s="22">
        <v>45930</v>
      </c>
      <c r="B11" s="5">
        <v>200000</v>
      </c>
      <c r="C11" s="3" t="s">
        <v>75</v>
      </c>
    </row>
    <row r="12" spans="1:5" ht="15" customHeight="1" x14ac:dyDescent="0.3">
      <c r="A12" s="22">
        <v>46112</v>
      </c>
      <c r="B12" s="5">
        <v>180000</v>
      </c>
      <c r="C12" s="3" t="s">
        <v>76</v>
      </c>
    </row>
    <row r="13" spans="1:5" ht="15" customHeight="1" x14ac:dyDescent="0.3">
      <c r="A13" s="22">
        <v>46387</v>
      </c>
      <c r="B13" s="5">
        <v>250000</v>
      </c>
      <c r="C13" s="3" t="s">
        <v>77</v>
      </c>
    </row>
    <row r="16" spans="1:5" ht="15" customHeight="1" x14ac:dyDescent="0.3">
      <c r="A16" s="11" t="s">
        <v>25</v>
      </c>
    </row>
    <row r="17" spans="1:4" ht="15" customHeight="1" x14ac:dyDescent="0.3">
      <c r="A17" s="2" t="s">
        <v>52</v>
      </c>
      <c r="B17" s="2" t="s">
        <v>78</v>
      </c>
      <c r="C17" s="2" t="s">
        <v>27</v>
      </c>
      <c r="D17" s="2" t="s">
        <v>79</v>
      </c>
    </row>
    <row r="18" spans="1:4" ht="15" customHeight="1" x14ac:dyDescent="0.3">
      <c r="A18" s="12" t="s">
        <v>80</v>
      </c>
      <c r="B18" s="3">
        <f>XNPV(B4,B7:B13,A7:A13)</f>
        <v>224260.68716454782</v>
      </c>
      <c r="C18" s="14">
        <f>XNPV(B4,B7:B13,A7:A13)</f>
        <v>224260.68716454782</v>
      </c>
      <c r="D18" s="3" t="s">
        <v>81</v>
      </c>
    </row>
    <row r="19" spans="1:4" ht="15" customHeight="1" x14ac:dyDescent="0.3">
      <c r="A19" s="12" t="s">
        <v>82</v>
      </c>
      <c r="B19" s="3">
        <f>XIRR(B7:B13,A7:A13)</f>
        <v>0.32254393696784978</v>
      </c>
      <c r="C19" s="15">
        <f>XIRR(B7:B13,A7:A13)</f>
        <v>0.32254393696784978</v>
      </c>
      <c r="D19" s="3" t="s">
        <v>83</v>
      </c>
    </row>
    <row r="20" spans="1:4" ht="15" customHeight="1" x14ac:dyDescent="0.3">
      <c r="A20" s="12" t="s">
        <v>84</v>
      </c>
      <c r="B20" s="23">
        <f>NPV(B4,B8:B13)+B7</f>
        <v>76339.002721328638</v>
      </c>
      <c r="C20" s="14">
        <f>NPV(B4,B8:B13)+B7</f>
        <v>76339.002721328638</v>
      </c>
      <c r="D20" s="3" t="s">
        <v>85</v>
      </c>
    </row>
    <row r="23" spans="1:4" ht="15" customHeight="1" x14ac:dyDescent="0.3">
      <c r="A23" s="17" t="s">
        <v>86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6"/>
  <sheetViews>
    <sheetView showGridLines="0" topLeftCell="A17" zoomScaleNormal="100" workbookViewId="0">
      <selection activeCell="C36" sqref="C36"/>
    </sheetView>
  </sheetViews>
  <sheetFormatPr defaultColWidth="8.6640625" defaultRowHeight="14.4" x14ac:dyDescent="0.3"/>
  <cols>
    <col min="1" max="1" width="40" customWidth="1"/>
    <col min="2" max="2" width="25" customWidth="1"/>
    <col min="3" max="3" width="30" customWidth="1"/>
    <col min="4" max="4" width="20" customWidth="1"/>
  </cols>
  <sheetData>
    <row r="1" spans="1:4" ht="21.75" customHeight="1" x14ac:dyDescent="0.3">
      <c r="A1" s="32" t="s">
        <v>87</v>
      </c>
      <c r="B1" s="32"/>
      <c r="C1" s="32"/>
      <c r="D1" s="32"/>
    </row>
    <row r="3" spans="1:4" ht="18" customHeight="1" x14ac:dyDescent="0.3">
      <c r="A3" s="33" t="s">
        <v>88</v>
      </c>
      <c r="B3" s="33"/>
      <c r="C3" s="33"/>
      <c r="D3" s="33"/>
    </row>
    <row r="4" spans="1:4" ht="15" customHeight="1" x14ac:dyDescent="0.3">
      <c r="A4" s="3" t="s">
        <v>89</v>
      </c>
      <c r="C4" s="3"/>
    </row>
    <row r="5" spans="1:4" ht="15" customHeight="1" x14ac:dyDescent="0.3">
      <c r="A5" s="3" t="s">
        <v>90</v>
      </c>
      <c r="B5" s="7">
        <v>-800000</v>
      </c>
      <c r="C5" s="3" t="s">
        <v>91</v>
      </c>
    </row>
    <row r="6" spans="1:4" ht="15" customHeight="1" x14ac:dyDescent="0.3">
      <c r="A6" s="3" t="s">
        <v>92</v>
      </c>
      <c r="B6" s="7">
        <v>200000</v>
      </c>
      <c r="C6" s="3" t="s">
        <v>10</v>
      </c>
      <c r="D6">
        <v>25000</v>
      </c>
    </row>
    <row r="7" spans="1:4" ht="15" customHeight="1" x14ac:dyDescent="0.3">
      <c r="A7" s="3" t="s">
        <v>93</v>
      </c>
      <c r="B7" s="7">
        <v>250000</v>
      </c>
      <c r="C7" s="3" t="s">
        <v>10</v>
      </c>
      <c r="D7" s="30">
        <v>0.09</v>
      </c>
    </row>
    <row r="8" spans="1:4" ht="15" customHeight="1" x14ac:dyDescent="0.3">
      <c r="A8" s="3" t="s">
        <v>94</v>
      </c>
      <c r="B8" s="7">
        <v>300000</v>
      </c>
      <c r="C8" s="3" t="s">
        <v>10</v>
      </c>
      <c r="D8">
        <v>1</v>
      </c>
    </row>
    <row r="9" spans="1:4" ht="15" customHeight="1" x14ac:dyDescent="0.3">
      <c r="A9" s="3" t="s">
        <v>95</v>
      </c>
      <c r="B9" s="7">
        <v>350000</v>
      </c>
      <c r="C9" s="3" t="s">
        <v>10</v>
      </c>
      <c r="D9">
        <v>12</v>
      </c>
    </row>
    <row r="10" spans="1:4" ht="15" customHeight="1" x14ac:dyDescent="0.3">
      <c r="A10" s="3" t="s">
        <v>96</v>
      </c>
      <c r="B10" s="7">
        <v>0.12</v>
      </c>
      <c r="C10" s="3" t="s">
        <v>97</v>
      </c>
      <c r="D10" s="27">
        <f>PMT(D7/D9,D8*D9,-D6)</f>
        <v>2186.2869192480357</v>
      </c>
    </row>
    <row r="11" spans="1:4" ht="15" customHeight="1" x14ac:dyDescent="0.3">
      <c r="A11" s="3" t="s">
        <v>98</v>
      </c>
      <c r="B11" s="28">
        <f>NPV(C10,B6:B9)+B5</f>
        <v>13835.299744897755</v>
      </c>
      <c r="C11" s="3"/>
      <c r="D11" s="27">
        <f>D9*D10</f>
        <v>26235.443030976428</v>
      </c>
    </row>
    <row r="12" spans="1:4" ht="15" customHeight="1" x14ac:dyDescent="0.3">
      <c r="A12" s="3" t="s">
        <v>99</v>
      </c>
      <c r="B12" s="24">
        <f>NPV(B10,B6:B9)+B5</f>
        <v>13835.299744897755</v>
      </c>
      <c r="C12" s="3" t="s">
        <v>100</v>
      </c>
    </row>
    <row r="14" spans="1:4" ht="18" customHeight="1" x14ac:dyDescent="0.3">
      <c r="A14" s="33" t="s">
        <v>101</v>
      </c>
      <c r="B14" s="33"/>
      <c r="C14" s="33"/>
      <c r="D14" s="33"/>
    </row>
    <row r="15" spans="1:4" ht="15" customHeight="1" x14ac:dyDescent="0.3">
      <c r="A15" s="3" t="s">
        <v>102</v>
      </c>
      <c r="C15" s="3">
        <v>12</v>
      </c>
    </row>
    <row r="16" spans="1:4" ht="15" customHeight="1" x14ac:dyDescent="0.3">
      <c r="A16" s="3" t="s">
        <v>103</v>
      </c>
      <c r="B16" s="7">
        <v>500000</v>
      </c>
      <c r="C16" s="3" t="s">
        <v>10</v>
      </c>
      <c r="D16">
        <v>60</v>
      </c>
    </row>
    <row r="17" spans="1:4" ht="15" customHeight="1" x14ac:dyDescent="0.3">
      <c r="A17" s="3" t="s">
        <v>104</v>
      </c>
      <c r="B17" s="7">
        <v>0.09</v>
      </c>
      <c r="C17" s="3" t="s">
        <v>105</v>
      </c>
    </row>
    <row r="18" spans="1:4" ht="15" customHeight="1" x14ac:dyDescent="0.3">
      <c r="A18" s="3" t="s">
        <v>106</v>
      </c>
      <c r="B18" s="7">
        <v>5</v>
      </c>
      <c r="C18" s="3" t="s">
        <v>13</v>
      </c>
    </row>
    <row r="19" spans="1:4" ht="15" customHeight="1" x14ac:dyDescent="0.3">
      <c r="A19" s="3" t="s">
        <v>107</v>
      </c>
      <c r="B19" s="27"/>
      <c r="C19" s="3"/>
    </row>
    <row r="20" spans="1:4" ht="15" customHeight="1" x14ac:dyDescent="0.3">
      <c r="A20" s="3" t="s">
        <v>108</v>
      </c>
      <c r="B20" s="25">
        <f>PMT(B17/C15,B18*C15,-B16)</f>
        <v>10379.177613177004</v>
      </c>
      <c r="C20" s="3" t="s">
        <v>109</v>
      </c>
    </row>
    <row r="21" spans="1:4" ht="15" customHeight="1" x14ac:dyDescent="0.3">
      <c r="A21" s="3" t="s">
        <v>110</v>
      </c>
      <c r="B21" s="26">
        <f>B20*D16</f>
        <v>622750.65679062018</v>
      </c>
      <c r="C21" s="31" t="e">
        <f>PMT(C17/C15,B18*C15,-B16)</f>
        <v>#VALUE!</v>
      </c>
    </row>
    <row r="22" spans="1:4" ht="15" customHeight="1" x14ac:dyDescent="0.3">
      <c r="A22" s="3" t="s">
        <v>111</v>
      </c>
      <c r="B22" s="26">
        <f>ABS(B21)-B16</f>
        <v>122750.65679062018</v>
      </c>
      <c r="C22" s="3" t="s">
        <v>10</v>
      </c>
    </row>
    <row r="24" spans="1:4" ht="18" customHeight="1" x14ac:dyDescent="0.3">
      <c r="A24" s="33" t="s">
        <v>112</v>
      </c>
      <c r="B24" s="33"/>
      <c r="C24" s="33"/>
      <c r="D24" s="33"/>
    </row>
    <row r="25" spans="1:4" ht="15" customHeight="1" x14ac:dyDescent="0.3">
      <c r="A25" s="3" t="s">
        <v>113</v>
      </c>
      <c r="C25" s="3"/>
    </row>
    <row r="26" spans="1:4" ht="15" customHeight="1" x14ac:dyDescent="0.3">
      <c r="A26" s="3" t="s">
        <v>114</v>
      </c>
      <c r="C26" s="3"/>
    </row>
    <row r="27" spans="1:4" ht="15" customHeight="1" x14ac:dyDescent="0.3">
      <c r="A27" s="3" t="s">
        <v>115</v>
      </c>
      <c r="C27" s="3"/>
    </row>
    <row r="28" spans="1:4" ht="15" customHeight="1" x14ac:dyDescent="0.3">
      <c r="A28" s="3" t="s">
        <v>116</v>
      </c>
      <c r="B28" s="15">
        <f>IRR({-400000,120000,140000,160000,180000})</f>
        <v>0.17093686339499081</v>
      </c>
      <c r="C28" s="3" t="s">
        <v>117</v>
      </c>
    </row>
    <row r="29" spans="1:4" ht="15" customHeight="1" x14ac:dyDescent="0.3">
      <c r="A29" s="3" t="s">
        <v>118</v>
      </c>
      <c r="B29" s="15">
        <f>IRR({-400000,200000,150000,100000,80000})</f>
        <v>0.14827648778890068</v>
      </c>
      <c r="C29" s="3" t="s">
        <v>117</v>
      </c>
    </row>
    <row r="31" spans="1:4" ht="18" customHeight="1" x14ac:dyDescent="0.3">
      <c r="A31" s="33" t="s">
        <v>119</v>
      </c>
      <c r="B31" s="33"/>
      <c r="C31" s="33"/>
      <c r="D31" s="33"/>
    </row>
    <row r="32" spans="1:4" ht="15" customHeight="1" x14ac:dyDescent="0.3">
      <c r="A32" s="3" t="s">
        <v>120</v>
      </c>
      <c r="C32" s="3"/>
    </row>
    <row r="33" spans="1:3" ht="15" customHeight="1" x14ac:dyDescent="0.3">
      <c r="A33" s="3" t="s">
        <v>121</v>
      </c>
      <c r="C33" s="3"/>
    </row>
    <row r="34" spans="1:3" ht="15" customHeight="1" x14ac:dyDescent="0.3">
      <c r="A34" s="3" t="s">
        <v>122</v>
      </c>
      <c r="C34" s="3"/>
    </row>
    <row r="35" spans="1:3" ht="15" customHeight="1" x14ac:dyDescent="0.3">
      <c r="A35" s="3" t="s">
        <v>123</v>
      </c>
      <c r="C35" s="3"/>
    </row>
    <row r="36" spans="1:3" ht="15" customHeight="1" x14ac:dyDescent="0.3">
      <c r="A36" s="3" t="s">
        <v>124</v>
      </c>
      <c r="B36" s="7" t="s">
        <v>125</v>
      </c>
      <c r="C36" s="3"/>
    </row>
  </sheetData>
  <mergeCells count="5">
    <mergeCell ref="A1:D1"/>
    <mergeCell ref="A3:D3"/>
    <mergeCell ref="A14:D14"/>
    <mergeCell ref="A24:D24"/>
    <mergeCell ref="A31:D3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NPV_IRR_Calculator</vt:lpstr>
      <vt:lpstr>PMT_Loan_Calculator</vt:lpstr>
      <vt:lpstr>XNPV_XIRR_Calculator</vt:lpstr>
      <vt:lpstr>Practice_Exercises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Bhanu Pratap Singh</cp:lastModifiedBy>
  <cp:revision>0</cp:revision>
  <dcterms:created xsi:type="dcterms:W3CDTF">2026-04-29T07:40:30Z</dcterms:created>
  <dcterms:modified xsi:type="dcterms:W3CDTF">2026-04-29T18:52:34Z</dcterms:modified>
  <dc:language>en-US</dc:language>
</cp:coreProperties>
</file>